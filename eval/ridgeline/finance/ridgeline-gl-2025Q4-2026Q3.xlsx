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New bookers by source" sheetId="4" state="visible" r:id="rId4"/>
  </sheets>
  <definedNames>
    <definedName name="_xlnm._FilterDatabase" localSheetId="1" hidden="1">'Monthly'!$A$4:$N$28</definedName>
    <definedName name="_xlnm.Print_Titles" localSheetId="2">'Quarters'!$1:$4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i val="1"/>
      <sz val="10"/>
    </font>
    <font>
      <name val="Arial"/>
      <b val="1"/>
      <color rgb="00000000"/>
      <sz val="10"/>
    </font>
    <font>
      <name val="Arial"/>
      <i val="1"/>
      <color rgb="0044403C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4F7FB"/>
      </patternFill>
    </fill>
    <fill>
      <patternFill patternType="solid">
        <fgColor rgb="00F7F4EF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1" pivotButton="0" quotePrefix="0" xfId="0"/>
    <xf numFmtId="164" fontId="8" fillId="3" borderId="1" pivotButton="0" quotePrefix="0" xfId="0"/>
    <xf numFmtId="164" fontId="7" fillId="0" borderId="1" pivotButton="0" quotePrefix="0" xfId="0"/>
    <xf numFmtId="0" fontId="7" fillId="4" borderId="1" pivotButton="0" quotePrefix="0" xfId="0"/>
    <xf numFmtId="0" fontId="4" fillId="0" borderId="1" pivotButton="0" quotePrefix="0" xfId="0"/>
    <xf numFmtId="0" fontId="4" fillId="4" borderId="1" pivotButton="0" quotePrefix="0" xfId="0"/>
    <xf numFmtId="165" fontId="7" fillId="0" borderId="1" pivotButton="0" quotePrefix="0" xfId="0"/>
    <xf numFmtId="164" fontId="9" fillId="0" borderId="1" pivotButton="0" quotePrefix="0" xfId="0"/>
    <xf numFmtId="3" fontId="8" fillId="3" borderId="1" pivotButton="0" quotePrefix="0" xfId="0"/>
    <xf numFmtId="3" fontId="9" fillId="0" borderId="1" pivotButton="0" quotePrefix="0" xfId="0"/>
    <xf numFmtId="3" fontId="7" fillId="0" borderId="1" pivotButton="0" quotePrefix="0" xfId="0"/>
    <xf numFmtId="0" fontId="6" fillId="2" borderId="0" applyAlignment="1" pivotButton="0" quotePrefix="0" xfId="0">
      <alignment horizontal="left"/>
    </xf>
    <xf numFmtId="0" fontId="9" fillId="0" borderId="1" pivotButton="0" quotePrefix="0" xfId="0"/>
    <xf numFmtId="165" fontId="8" fillId="3" borderId="1" pivotButton="0" quotePrefix="0" xfId="0"/>
    <xf numFmtId="165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bookings by quarter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'Quarters'!$B$4:$E$4</f>
            </numRef>
          </cat>
          <val>
            <numRef>
              <f>'Quarters'!$B$5:$E$5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Finance</author>
  </authors>
  <commentList>
    <comment ref="B5" authorId="0" shapeId="0">
      <text>
        <t>Hardcoded actual from the Oct 2025 close. Same for every blue cell on this tab. Source: company ledger, pulled 16 Oct 2026.</t>
      </text>
    </comment>
    <comment ref="N24" authorId="0" shapeId="0">
      <text>
        <t>Cash, headcount, and subscribers are end of period. The twelve-month column points at September 2026, it does not add the months.</t>
      </text>
    </comment>
  </commentList>
</comments>
</file>

<file path=xl/comments/comment2.xml><?xml version="1.0" encoding="utf-8"?>
<comments xmlns="http://schemas.openxmlformats.org/spreadsheetml/2006/main">
  <authors>
    <author>Finance</author>
  </authors>
  <commentList>
    <comment ref="B30" authorId="0" shapeId="0">
      <text>
        <t>Entered once a quarter from the subscriber cohort file. Not a monthly actual. Last-twelve-months cell repeats Q3 2026, it is not an average.</t>
      </text>
    </comment>
  </commentList>
</comments>
</file>

<file path=xl/comments/comment3.xml><?xml version="1.0" encoding="utf-8"?>
<comments xmlns="http://schemas.openxmlformats.org/spreadsheetml/2006/main">
  <authors>
    <author>Finance</author>
  </authors>
  <commentList>
    <comment ref="B5" authorId="0" shapeId="0">
      <text>
        <t>Entered counts from the attribution export. Unattributed is new bookers minus organic, paid, and partner. The gap is real in this pull.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64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F4D3A"/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Ridgeline GL export</t>
        </is>
      </c>
    </row>
    <row r="2" ht="32" customHeight="1">
      <c r="A2" s="2" t="inlineStr">
        <is>
          <t>Pulled 16 Oct 2026 from the ledger. Calendar months, Oct 2025 through Sep 2026. Not a fiscal-year pack. Not a deck.</t>
        </is>
      </c>
    </row>
    <row r="3">
      <c r="A3" s="2" t="n"/>
    </row>
    <row r="4">
      <c r="A4" s="2" t="inlineStr">
        <is>
          <t>Blue numbers are entered actuals. Black numbers are formulas. Do not paste a single month into a round-number slide.</t>
        </is>
      </c>
    </row>
    <row r="5">
      <c r="A5" s="2" t="n"/>
    </row>
    <row r="6">
      <c r="A6" s="3" t="inlineStr">
        <is>
          <t>Tabs</t>
        </is>
      </c>
    </row>
    <row r="7">
      <c r="A7" s="2" t="inlineStr">
        <is>
          <t>Monthly — one column per month</t>
        </is>
      </c>
    </row>
    <row r="8">
      <c r="A8" s="2" t="inlineStr">
        <is>
          <t>Quarters — Q4 2025, Q1 2026, Q2 2026, Q3 2026, and the twelve-month total</t>
        </is>
      </c>
    </row>
    <row r="9">
      <c r="A9" s="2" t="inlineStr">
        <is>
          <t>New bookers by source — does not tie to New bookers. The gap is the unattributed 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D3A"/>
    <outlinePr summaryBelow="1" summaryRight="1"/>
    <pageSetUpPr fitToPage="1"/>
  </sheetPr>
  <dimension ref="A1:N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Monthly actuals</t>
        </is>
      </c>
    </row>
    <row r="2">
      <c r="A2" s="4" t="inlineStr">
        <is>
          <t>Entered figures are the close. Formulas are the relationships finance uses. Renewal rate is not on this tab.</t>
        </is>
      </c>
    </row>
    <row r="4">
      <c r="A4" s="5" t="inlineStr">
        <is>
          <t>Line</t>
        </is>
      </c>
      <c r="B4" s="6" t="inlineStr">
        <is>
          <t>Oct 2025</t>
        </is>
      </c>
      <c r="C4" s="6" t="inlineStr">
        <is>
          <t>Nov 2025</t>
        </is>
      </c>
      <c r="D4" s="6" t="inlineStr">
        <is>
          <t>Dec 2025</t>
        </is>
      </c>
      <c r="E4" s="6" t="inlineStr">
        <is>
          <t>Jan 2026</t>
        </is>
      </c>
      <c r="F4" s="6" t="inlineStr">
        <is>
          <t>Feb 2026</t>
        </is>
      </c>
      <c r="G4" s="6" t="inlineStr">
        <is>
          <t>Mar 2026</t>
        </is>
      </c>
      <c r="H4" s="6" t="inlineStr">
        <is>
          <t>Apr 2026</t>
        </is>
      </c>
      <c r="I4" s="6" t="inlineStr">
        <is>
          <t>May 2026</t>
        </is>
      </c>
      <c r="J4" s="6" t="inlineStr">
        <is>
          <t>Jun 2026</t>
        </is>
      </c>
      <c r="K4" s="6" t="inlineStr">
        <is>
          <t>Jul 2026</t>
        </is>
      </c>
      <c r="L4" s="6" t="inlineStr">
        <is>
          <t>Aug 2026</t>
        </is>
      </c>
      <c r="M4" s="6" t="inlineStr">
        <is>
          <t>Sep 2026</t>
        </is>
      </c>
      <c r="N4" s="5" t="inlineStr">
        <is>
          <t>Twelve months</t>
        </is>
      </c>
    </row>
    <row r="5">
      <c r="A5" s="7" t="inlineStr">
        <is>
          <t>Gross bookings</t>
        </is>
      </c>
      <c r="B5" s="8" t="n">
        <v>6200000</v>
      </c>
      <c r="C5" s="8" t="n">
        <v>14100000</v>
      </c>
      <c r="D5" s="8" t="n">
        <v>16100000</v>
      </c>
      <c r="E5" s="8" t="n">
        <v>15400000</v>
      </c>
      <c r="F5" s="8" t="n">
        <v>14200000</v>
      </c>
      <c r="G5" s="8" t="n">
        <v>12200000</v>
      </c>
      <c r="H5" s="8" t="n">
        <v>9800000</v>
      </c>
      <c r="I5" s="8" t="n">
        <v>5100000</v>
      </c>
      <c r="J5" s="8" t="n">
        <v>3700000</v>
      </c>
      <c r="K5" s="8" t="n">
        <v>2900000</v>
      </c>
      <c r="L5" s="8" t="n">
        <v>3400000</v>
      </c>
      <c r="M5" s="8" t="n">
        <v>4900000</v>
      </c>
      <c r="N5" s="9">
        <f>SUM(B5:M5)</f>
        <v/>
      </c>
    </row>
    <row r="6">
      <c r="A6" s="10" t="inlineStr">
        <is>
          <t>Cancellations</t>
        </is>
      </c>
      <c r="B6" s="8" t="n">
        <v>500000</v>
      </c>
      <c r="C6" s="8" t="n">
        <v>1600000</v>
      </c>
      <c r="D6" s="8" t="n">
        <v>2000000</v>
      </c>
      <c r="E6" s="8" t="n">
        <v>2100000</v>
      </c>
      <c r="F6" s="8" t="n">
        <v>1900000</v>
      </c>
      <c r="G6" s="8" t="n">
        <v>1600000</v>
      </c>
      <c r="H6" s="8" t="n">
        <v>1100000</v>
      </c>
      <c r="I6" s="8" t="n">
        <v>500000</v>
      </c>
      <c r="J6" s="8" t="n">
        <v>300000</v>
      </c>
      <c r="K6" s="8" t="n">
        <v>200000</v>
      </c>
      <c r="L6" s="8" t="n">
        <v>250000</v>
      </c>
      <c r="M6" s="8" t="n">
        <v>350000</v>
      </c>
      <c r="N6" s="9">
        <f>SUM(B6:M6)</f>
        <v/>
      </c>
    </row>
    <row r="7">
      <c r="A7" s="11" t="inlineStr">
        <is>
          <t>Net bookings</t>
        </is>
      </c>
      <c r="B7" s="9">
        <f>B5-B6</f>
        <v/>
      </c>
      <c r="C7" s="9">
        <f>C5-C6</f>
        <v/>
      </c>
      <c r="D7" s="9">
        <f>D5-D6</f>
        <v/>
      </c>
      <c r="E7" s="9">
        <f>E5-E6</f>
        <v/>
      </c>
      <c r="F7" s="9">
        <f>F5-F6</f>
        <v/>
      </c>
      <c r="G7" s="9">
        <f>G5-G6</f>
        <v/>
      </c>
      <c r="H7" s="9">
        <f>H5-H6</f>
        <v/>
      </c>
      <c r="I7" s="9">
        <f>I5-I6</f>
        <v/>
      </c>
      <c r="J7" s="9">
        <f>J5-J6</f>
        <v/>
      </c>
      <c r="K7" s="9">
        <f>K5-K6</f>
        <v/>
      </c>
      <c r="L7" s="9">
        <f>L5-L6</f>
        <v/>
      </c>
      <c r="M7" s="9">
        <f>M5-M6</f>
        <v/>
      </c>
      <c r="N7" s="9">
        <f>SUM(B7:M7)</f>
        <v/>
      </c>
    </row>
    <row r="8">
      <c r="A8" s="10" t="inlineStr">
        <is>
          <t>Booking commission revenue</t>
        </is>
      </c>
      <c r="B8" s="8" t="n">
        <v>540000</v>
      </c>
      <c r="C8" s="8" t="n">
        <v>1220000</v>
      </c>
      <c r="D8" s="8" t="n">
        <v>1420000</v>
      </c>
      <c r="E8" s="8" t="n">
        <v>1380000</v>
      </c>
      <c r="F8" s="8" t="n">
        <v>1280000</v>
      </c>
      <c r="G8" s="8" t="n">
        <v>1060000</v>
      </c>
      <c r="H8" s="8" t="n">
        <v>820000</v>
      </c>
      <c r="I8" s="8" t="n">
        <v>430000</v>
      </c>
      <c r="J8" s="8" t="n">
        <v>300000</v>
      </c>
      <c r="K8" s="8" t="n">
        <v>240000</v>
      </c>
      <c r="L8" s="8" t="n">
        <v>290000</v>
      </c>
      <c r="M8" s="8" t="n">
        <v>410000</v>
      </c>
      <c r="N8" s="9">
        <f>SUM(B8:M8)</f>
        <v/>
      </c>
    </row>
    <row r="9">
      <c r="A9" s="7" t="inlineStr">
        <is>
          <t>Snow Pass revenue</t>
        </is>
      </c>
      <c r="B9" s="8" t="n">
        <v>160000</v>
      </c>
      <c r="C9" s="8" t="n">
        <v>170000</v>
      </c>
      <c r="D9" s="8" t="n">
        <v>190000</v>
      </c>
      <c r="E9" s="8" t="n">
        <v>200000</v>
      </c>
      <c r="F9" s="8" t="n">
        <v>210000</v>
      </c>
      <c r="G9" s="8" t="n">
        <v>200000</v>
      </c>
      <c r="H9" s="8" t="n">
        <v>200000</v>
      </c>
      <c r="I9" s="8" t="n">
        <v>190000</v>
      </c>
      <c r="J9" s="8" t="n">
        <v>190000</v>
      </c>
      <c r="K9" s="8" t="n">
        <v>200000</v>
      </c>
      <c r="L9" s="8" t="n">
        <v>210000</v>
      </c>
      <c r="M9" s="8" t="n">
        <v>230000</v>
      </c>
      <c r="N9" s="9">
        <f>SUM(B9:M9)</f>
        <v/>
      </c>
    </row>
    <row r="10">
      <c r="A10" s="10" t="inlineStr">
        <is>
          <t>Resort placement revenue</t>
        </is>
      </c>
      <c r="B10" s="8" t="n">
        <v>40000</v>
      </c>
      <c r="C10" s="8" t="n">
        <v>50000</v>
      </c>
      <c r="D10" s="8" t="n">
        <v>50000</v>
      </c>
      <c r="E10" s="8" t="n">
        <v>55000</v>
      </c>
      <c r="F10" s="8" t="n">
        <v>55000</v>
      </c>
      <c r="G10" s="8" t="n">
        <v>50000</v>
      </c>
      <c r="H10" s="8" t="n">
        <v>45000</v>
      </c>
      <c r="I10" s="8" t="n">
        <v>35000</v>
      </c>
      <c r="J10" s="8" t="n">
        <v>30000</v>
      </c>
      <c r="K10" s="8" t="n">
        <v>25000</v>
      </c>
      <c r="L10" s="8" t="n">
        <v>30000</v>
      </c>
      <c r="M10" s="8" t="n">
        <v>35000</v>
      </c>
      <c r="N10" s="9">
        <f>SUM(B10:M10)</f>
        <v/>
      </c>
    </row>
    <row r="11">
      <c r="A11" s="11" t="inlineStr">
        <is>
          <t>Net revenue</t>
        </is>
      </c>
      <c r="B11" s="9">
        <f>B8+B9+B10</f>
        <v/>
      </c>
      <c r="C11" s="9">
        <f>C8+C9+C10</f>
        <v/>
      </c>
      <c r="D11" s="9">
        <f>D8+D9+D10</f>
        <v/>
      </c>
      <c r="E11" s="9">
        <f>E8+E9+E10</f>
        <v/>
      </c>
      <c r="F11" s="9">
        <f>F8+F9+F10</f>
        <v/>
      </c>
      <c r="G11" s="9">
        <f>G8+G9+G10</f>
        <v/>
      </c>
      <c r="H11" s="9">
        <f>H8+H9+H10</f>
        <v/>
      </c>
      <c r="I11" s="9">
        <f>I8+I9+I10</f>
        <v/>
      </c>
      <c r="J11" s="9">
        <f>J8+J9+J10</f>
        <v/>
      </c>
      <c r="K11" s="9">
        <f>K8+K9+K10</f>
        <v/>
      </c>
      <c r="L11" s="9">
        <f>L8+L9+L10</f>
        <v/>
      </c>
      <c r="M11" s="9">
        <f>M8+M9+M10</f>
        <v/>
      </c>
      <c r="N11" s="9">
        <f>SUM(B11:M11)</f>
        <v/>
      </c>
    </row>
    <row r="12">
      <c r="A12" s="10" t="inlineStr">
        <is>
          <t>Affiliate fees, lodging</t>
        </is>
      </c>
      <c r="B12" s="8" t="n">
        <v>210000</v>
      </c>
      <c r="C12" s="8" t="n">
        <v>480000</v>
      </c>
      <c r="D12" s="8" t="n">
        <v>550000</v>
      </c>
      <c r="E12" s="8" t="n">
        <v>520000</v>
      </c>
      <c r="F12" s="8" t="n">
        <v>480000</v>
      </c>
      <c r="G12" s="8" t="n">
        <v>410000</v>
      </c>
      <c r="H12" s="8" t="n">
        <v>330000</v>
      </c>
      <c r="I12" s="8" t="n">
        <v>170000</v>
      </c>
      <c r="J12" s="8" t="n">
        <v>120000</v>
      </c>
      <c r="K12" s="8" t="n">
        <v>100000</v>
      </c>
      <c r="L12" s="8" t="n">
        <v>120000</v>
      </c>
      <c r="M12" s="8" t="n">
        <v>160000</v>
      </c>
      <c r="N12" s="9">
        <f>SUM(B12:M12)</f>
        <v/>
      </c>
    </row>
    <row r="13">
      <c r="A13" s="7" t="inlineStr">
        <is>
          <t>Payment fees</t>
        </is>
      </c>
      <c r="B13" s="8" t="n">
        <v>80000</v>
      </c>
      <c r="C13" s="8" t="n">
        <v>190000</v>
      </c>
      <c r="D13" s="8" t="n">
        <v>220000</v>
      </c>
      <c r="E13" s="8" t="n">
        <v>210000</v>
      </c>
      <c r="F13" s="8" t="n">
        <v>190000</v>
      </c>
      <c r="G13" s="8" t="n">
        <v>160000</v>
      </c>
      <c r="H13" s="8" t="n">
        <v>130000</v>
      </c>
      <c r="I13" s="8" t="n">
        <v>70000</v>
      </c>
      <c r="J13" s="8" t="n">
        <v>50000</v>
      </c>
      <c r="K13" s="8" t="n">
        <v>40000</v>
      </c>
      <c r="L13" s="8" t="n">
        <v>50000</v>
      </c>
      <c r="M13" s="8" t="n">
        <v>70000</v>
      </c>
      <c r="N13" s="9">
        <f>SUM(B13:M13)</f>
        <v/>
      </c>
    </row>
    <row r="14">
      <c r="A14" s="10" t="inlineStr">
        <is>
          <t>Snow, map, and forecast licenses</t>
        </is>
      </c>
      <c r="B14" s="8" t="n">
        <v>120000</v>
      </c>
      <c r="C14" s="8" t="n">
        <v>120000</v>
      </c>
      <c r="D14" s="8" t="n">
        <v>120000</v>
      </c>
      <c r="E14" s="8" t="n">
        <v>120000</v>
      </c>
      <c r="F14" s="8" t="n">
        <v>120000</v>
      </c>
      <c r="G14" s="8" t="n">
        <v>120000</v>
      </c>
      <c r="H14" s="8" t="n">
        <v>120000</v>
      </c>
      <c r="I14" s="8" t="n">
        <v>130000</v>
      </c>
      <c r="J14" s="8" t="n">
        <v>130000</v>
      </c>
      <c r="K14" s="8" t="n">
        <v>130000</v>
      </c>
      <c r="L14" s="8" t="n">
        <v>125000</v>
      </c>
      <c r="M14" s="8" t="n">
        <v>125000</v>
      </c>
      <c r="N14" s="9">
        <f>SUM(B14:M14)</f>
        <v/>
      </c>
    </row>
    <row r="15">
      <c r="A15" s="7" t="inlineStr">
        <is>
          <t>Support and chargebacks</t>
        </is>
      </c>
      <c r="B15" s="8" t="n">
        <v>80000</v>
      </c>
      <c r="C15" s="8" t="n">
        <v>150000</v>
      </c>
      <c r="D15" s="8" t="n">
        <v>180000</v>
      </c>
      <c r="E15" s="8" t="n">
        <v>220000</v>
      </c>
      <c r="F15" s="8" t="n">
        <v>210000</v>
      </c>
      <c r="G15" s="8" t="n">
        <v>190000</v>
      </c>
      <c r="H15" s="8" t="n">
        <v>140000</v>
      </c>
      <c r="I15" s="8" t="n">
        <v>80000</v>
      </c>
      <c r="J15" s="8" t="n">
        <v>60000</v>
      </c>
      <c r="K15" s="8" t="n">
        <v>50000</v>
      </c>
      <c r="L15" s="8" t="n">
        <v>60000</v>
      </c>
      <c r="M15" s="8" t="n">
        <v>80000</v>
      </c>
      <c r="N15" s="9">
        <f>SUM(B15:M15)</f>
        <v/>
      </c>
    </row>
    <row r="16">
      <c r="A16" s="12" t="inlineStr">
        <is>
          <t>Variable costs</t>
        </is>
      </c>
      <c r="B16" s="9">
        <f>B12+B13+B14+B15</f>
        <v/>
      </c>
      <c r="C16" s="9">
        <f>C12+C13+C14+C15</f>
        <v/>
      </c>
      <c r="D16" s="9">
        <f>D12+D13+D14+D15</f>
        <v/>
      </c>
      <c r="E16" s="9">
        <f>E12+E13+E14+E15</f>
        <v/>
      </c>
      <c r="F16" s="9">
        <f>F12+F13+F14+F15</f>
        <v/>
      </c>
      <c r="G16" s="9">
        <f>G12+G13+G14+G15</f>
        <v/>
      </c>
      <c r="H16" s="9">
        <f>H12+H13+H14+H15</f>
        <v/>
      </c>
      <c r="I16" s="9">
        <f>I12+I13+I14+I15</f>
        <v/>
      </c>
      <c r="J16" s="9">
        <f>J12+J13+J14+J15</f>
        <v/>
      </c>
      <c r="K16" s="9">
        <f>K12+K13+K14+K15</f>
        <v/>
      </c>
      <c r="L16" s="9">
        <f>L12+L13+L14+L15</f>
        <v/>
      </c>
      <c r="M16" s="9">
        <f>M12+M13+M14+M15</f>
        <v/>
      </c>
      <c r="N16" s="9">
        <f>SUM(B16:M16)</f>
        <v/>
      </c>
    </row>
    <row r="17">
      <c r="A17" s="11" t="inlineStr">
        <is>
          <t>Contribution profit</t>
        </is>
      </c>
      <c r="B17" s="9">
        <f>B11-B16</f>
        <v/>
      </c>
      <c r="C17" s="9">
        <f>C11-C16</f>
        <v/>
      </c>
      <c r="D17" s="9">
        <f>D11-D16</f>
        <v/>
      </c>
      <c r="E17" s="9">
        <f>E11-E16</f>
        <v/>
      </c>
      <c r="F17" s="9">
        <f>F11-F16</f>
        <v/>
      </c>
      <c r="G17" s="9">
        <f>G11-G16</f>
        <v/>
      </c>
      <c r="H17" s="9">
        <f>H11-H16</f>
        <v/>
      </c>
      <c r="I17" s="9">
        <f>I11-I16</f>
        <v/>
      </c>
      <c r="J17" s="9">
        <f>J11-J16</f>
        <v/>
      </c>
      <c r="K17" s="9">
        <f>K11-K16</f>
        <v/>
      </c>
      <c r="L17" s="9">
        <f>L11-L16</f>
        <v/>
      </c>
      <c r="M17" s="9">
        <f>M11-M16</f>
        <v/>
      </c>
      <c r="N17" s="9">
        <f>SUM(B17:M17)</f>
        <v/>
      </c>
    </row>
    <row r="18">
      <c r="A18" s="12" t="inlineStr">
        <is>
          <t>Contribution margin</t>
        </is>
      </c>
      <c r="B18" s="13">
        <f>IF(B11=0,"-",B17/B11)</f>
        <v/>
      </c>
      <c r="C18" s="13">
        <f>IF(C11=0,"-",C17/C11)</f>
        <v/>
      </c>
      <c r="D18" s="13">
        <f>IF(D11=0,"-",D17/D11)</f>
        <v/>
      </c>
      <c r="E18" s="13">
        <f>IF(E11=0,"-",E17/E11)</f>
        <v/>
      </c>
      <c r="F18" s="13">
        <f>IF(F11=0,"-",F17/F11)</f>
        <v/>
      </c>
      <c r="G18" s="13">
        <f>IF(G11=0,"-",G17/G11)</f>
        <v/>
      </c>
      <c r="H18" s="13">
        <f>IF(H11=0,"-",H17/H11)</f>
        <v/>
      </c>
      <c r="I18" s="13">
        <f>IF(I11=0,"-",I17/I11)</f>
        <v/>
      </c>
      <c r="J18" s="13">
        <f>IF(J11=0,"-",J17/J11)</f>
        <v/>
      </c>
      <c r="K18" s="13">
        <f>IF(K11=0,"-",K17/K11)</f>
        <v/>
      </c>
      <c r="L18" s="13">
        <f>IF(L11=0,"-",L17/L11)</f>
        <v/>
      </c>
      <c r="M18" s="13">
        <f>IF(M11=0,"-",M17/M11)</f>
        <v/>
      </c>
      <c r="N18" s="13">
        <f>IF(N11=0,"-",N17/N11)</f>
        <v/>
      </c>
    </row>
    <row r="19">
      <c r="A19" s="7" t="inlineStr">
        <is>
          <t>Sales and marketing</t>
        </is>
      </c>
      <c r="B19" s="8" t="n">
        <v>500000</v>
      </c>
      <c r="C19" s="8" t="n">
        <v>650000</v>
      </c>
      <c r="D19" s="8" t="n">
        <v>650000</v>
      </c>
      <c r="E19" s="8" t="n">
        <v>750000</v>
      </c>
      <c r="F19" s="8" t="n">
        <v>700000</v>
      </c>
      <c r="G19" s="8" t="n">
        <v>650000</v>
      </c>
      <c r="H19" s="8" t="n">
        <v>600000</v>
      </c>
      <c r="I19" s="8" t="n">
        <v>500000</v>
      </c>
      <c r="J19" s="8" t="n">
        <v>500000</v>
      </c>
      <c r="K19" s="8" t="n">
        <v>450000</v>
      </c>
      <c r="L19" s="8" t="n">
        <v>450000</v>
      </c>
      <c r="M19" s="8" t="n">
        <v>500000</v>
      </c>
      <c r="N19" s="9">
        <f>SUM(B19:M19)</f>
        <v/>
      </c>
    </row>
    <row r="20">
      <c r="A20" s="10" t="inlineStr">
        <is>
          <t>Product and engineering</t>
        </is>
      </c>
      <c r="B20" s="8" t="n">
        <v>700000</v>
      </c>
      <c r="C20" s="8" t="n">
        <v>750000</v>
      </c>
      <c r="D20" s="8" t="n">
        <v>750000</v>
      </c>
      <c r="E20" s="8" t="n">
        <v>760000</v>
      </c>
      <c r="F20" s="8" t="n">
        <v>770000</v>
      </c>
      <c r="G20" s="8" t="n">
        <v>770000</v>
      </c>
      <c r="H20" s="8" t="n">
        <v>800000</v>
      </c>
      <c r="I20" s="8" t="n">
        <v>820000</v>
      </c>
      <c r="J20" s="8" t="n">
        <v>830000</v>
      </c>
      <c r="K20" s="8" t="n">
        <v>820000</v>
      </c>
      <c r="L20" s="8" t="n">
        <v>840000</v>
      </c>
      <c r="M20" s="8" t="n">
        <v>840000</v>
      </c>
      <c r="N20" s="9">
        <f>SUM(B20:M20)</f>
        <v/>
      </c>
    </row>
    <row r="21">
      <c r="A21" s="7" t="inlineStr">
        <is>
          <t>G&amp;A</t>
        </is>
      </c>
      <c r="B21" s="8" t="n">
        <v>280000</v>
      </c>
      <c r="C21" s="8" t="n">
        <v>300000</v>
      </c>
      <c r="D21" s="8" t="n">
        <v>320000</v>
      </c>
      <c r="E21" s="8" t="n">
        <v>310000</v>
      </c>
      <c r="F21" s="8" t="n">
        <v>310000</v>
      </c>
      <c r="G21" s="8" t="n">
        <v>320000</v>
      </c>
      <c r="H21" s="8" t="n">
        <v>340000</v>
      </c>
      <c r="I21" s="8" t="n">
        <v>380000</v>
      </c>
      <c r="J21" s="8" t="n">
        <v>380000</v>
      </c>
      <c r="K21" s="8" t="n">
        <v>360000</v>
      </c>
      <c r="L21" s="8" t="n">
        <v>380000</v>
      </c>
      <c r="M21" s="8" t="n">
        <v>380000</v>
      </c>
      <c r="N21" s="9">
        <f>SUM(B21:M21)</f>
        <v/>
      </c>
    </row>
    <row r="22">
      <c r="A22" s="12" t="inlineStr">
        <is>
          <t>Operating expenses</t>
        </is>
      </c>
      <c r="B22" s="9">
        <f>B19+B20+B21</f>
        <v/>
      </c>
      <c r="C22" s="9">
        <f>C19+C20+C21</f>
        <v/>
      </c>
      <c r="D22" s="9">
        <f>D19+D20+D21</f>
        <v/>
      </c>
      <c r="E22" s="9">
        <f>E19+E20+E21</f>
        <v/>
      </c>
      <c r="F22" s="9">
        <f>F19+F20+F21</f>
        <v/>
      </c>
      <c r="G22" s="9">
        <f>G19+G20+G21</f>
        <v/>
      </c>
      <c r="H22" s="9">
        <f>H19+H20+H21</f>
        <v/>
      </c>
      <c r="I22" s="9">
        <f>I19+I20+I21</f>
        <v/>
      </c>
      <c r="J22" s="9">
        <f>J19+J20+J21</f>
        <v/>
      </c>
      <c r="K22" s="9">
        <f>K19+K20+K21</f>
        <v/>
      </c>
      <c r="L22" s="9">
        <f>L19+L20+L21</f>
        <v/>
      </c>
      <c r="M22" s="9">
        <f>M19+M20+M21</f>
        <v/>
      </c>
      <c r="N22" s="9">
        <f>SUM(B22:M22)</f>
        <v/>
      </c>
    </row>
    <row r="23">
      <c r="A23" s="11" t="inlineStr">
        <is>
          <t>Operating income</t>
        </is>
      </c>
      <c r="B23" s="9">
        <f>B17-B22</f>
        <v/>
      </c>
      <c r="C23" s="9">
        <f>C17-C22</f>
        <v/>
      </c>
      <c r="D23" s="9">
        <f>D17-D22</f>
        <v/>
      </c>
      <c r="E23" s="9">
        <f>E17-E22</f>
        <v/>
      </c>
      <c r="F23" s="9">
        <f>F17-F22</f>
        <v/>
      </c>
      <c r="G23" s="9">
        <f>G17-G22</f>
        <v/>
      </c>
      <c r="H23" s="9">
        <f>H17-H22</f>
        <v/>
      </c>
      <c r="I23" s="9">
        <f>I17-I22</f>
        <v/>
      </c>
      <c r="J23" s="9">
        <f>J17-J22</f>
        <v/>
      </c>
      <c r="K23" s="9">
        <f>K17-K22</f>
        <v/>
      </c>
      <c r="L23" s="9">
        <f>L17-L22</f>
        <v/>
      </c>
      <c r="M23" s="9">
        <f>M17-M22</f>
        <v/>
      </c>
      <c r="N23" s="9">
        <f>SUM(B23:M23)</f>
        <v/>
      </c>
    </row>
    <row r="24">
      <c r="A24" s="10" t="inlineStr">
        <is>
          <t>Cash, end of month</t>
        </is>
      </c>
      <c r="B24" s="8" t="n">
        <v>12400000</v>
      </c>
      <c r="C24" s="8" t="n">
        <v>11600000</v>
      </c>
      <c r="D24" s="8" t="n">
        <v>11200000</v>
      </c>
      <c r="E24" s="8" t="n">
        <v>10600000</v>
      </c>
      <c r="F24" s="8" t="n">
        <v>10100000</v>
      </c>
      <c r="G24" s="8" t="n">
        <v>9800000</v>
      </c>
      <c r="H24" s="8" t="n">
        <v>9400000</v>
      </c>
      <c r="I24" s="8" t="n">
        <v>15200000</v>
      </c>
      <c r="J24" s="8" t="n">
        <v>14100000</v>
      </c>
      <c r="K24" s="8" t="n">
        <v>15600000</v>
      </c>
      <c r="L24" s="8" t="n">
        <v>16000000</v>
      </c>
      <c r="M24" s="8" t="n">
        <v>16400000</v>
      </c>
      <c r="N24" s="14">
        <f>M24</f>
        <v/>
      </c>
    </row>
    <row r="25">
      <c r="A25" s="7" t="inlineStr">
        <is>
          <t>Headcount, end of month</t>
        </is>
      </c>
      <c r="B25" s="15" t="n">
        <v>72</v>
      </c>
      <c r="C25" s="15" t="n">
        <v>73</v>
      </c>
      <c r="D25" s="15" t="n">
        <v>74</v>
      </c>
      <c r="E25" s="15" t="n">
        <v>76</v>
      </c>
      <c r="F25" s="15" t="n">
        <v>78</v>
      </c>
      <c r="G25" s="15" t="n">
        <v>79</v>
      </c>
      <c r="H25" s="15" t="n">
        <v>81</v>
      </c>
      <c r="I25" s="15" t="n">
        <v>84</v>
      </c>
      <c r="J25" s="15" t="n">
        <v>86</v>
      </c>
      <c r="K25" s="15" t="n">
        <v>88</v>
      </c>
      <c r="L25" s="15" t="n">
        <v>90</v>
      </c>
      <c r="M25" s="15" t="n">
        <v>91</v>
      </c>
      <c r="N25" s="16">
        <f>M25</f>
        <v/>
      </c>
    </row>
    <row r="26">
      <c r="A26" s="10" t="inlineStr">
        <is>
          <t>Snow Pass subscribers, end of month</t>
        </is>
      </c>
      <c r="B26" s="15" t="n">
        <v>38200</v>
      </c>
      <c r="C26" s="15" t="n">
        <v>39800</v>
      </c>
      <c r="D26" s="15" t="n">
        <v>41200</v>
      </c>
      <c r="E26" s="15" t="n">
        <v>42600</v>
      </c>
      <c r="F26" s="15" t="n">
        <v>43900</v>
      </c>
      <c r="G26" s="15" t="n">
        <v>44800</v>
      </c>
      <c r="H26" s="15" t="n">
        <v>45600</v>
      </c>
      <c r="I26" s="15" t="n">
        <v>46400</v>
      </c>
      <c r="J26" s="15" t="n">
        <v>47100</v>
      </c>
      <c r="K26" s="15" t="n">
        <v>48900</v>
      </c>
      <c r="L26" s="15" t="n">
        <v>50600</v>
      </c>
      <c r="M26" s="15" t="n">
        <v>52300</v>
      </c>
      <c r="N26" s="16">
        <f>M26</f>
        <v/>
      </c>
    </row>
    <row r="27">
      <c r="A27" s="7" t="inlineStr">
        <is>
          <t>New bookers</t>
        </is>
      </c>
      <c r="B27" s="15" t="n">
        <v>4200</v>
      </c>
      <c r="C27" s="15" t="n">
        <v>6800</v>
      </c>
      <c r="D27" s="15" t="n">
        <v>7400</v>
      </c>
      <c r="E27" s="15" t="n">
        <v>7600</v>
      </c>
      <c r="F27" s="15" t="n">
        <v>7200</v>
      </c>
      <c r="G27" s="15" t="n">
        <v>6400</v>
      </c>
      <c r="H27" s="15" t="n">
        <v>3100</v>
      </c>
      <c r="I27" s="15" t="n">
        <v>2400</v>
      </c>
      <c r="J27" s="15" t="n">
        <v>2100</v>
      </c>
      <c r="K27" s="15" t="n">
        <v>1400</v>
      </c>
      <c r="L27" s="15" t="n">
        <v>1600</v>
      </c>
      <c r="M27" s="15" t="n">
        <v>1900</v>
      </c>
      <c r="N27" s="17">
        <f>SUM(B27:M27)</f>
        <v/>
      </c>
    </row>
    <row r="28">
      <c r="A28" s="12" t="inlineStr">
        <is>
          <t>Take rate (commission / gross bookings)</t>
        </is>
      </c>
      <c r="B28" s="13">
        <f>IF(B5=0,"-",B8/B5)</f>
        <v/>
      </c>
      <c r="C28" s="13">
        <f>IF(C5=0,"-",C8/C5)</f>
        <v/>
      </c>
      <c r="D28" s="13">
        <f>IF(D5=0,"-",D8/D5)</f>
        <v/>
      </c>
      <c r="E28" s="13">
        <f>IF(E5=0,"-",E8/E5)</f>
        <v/>
      </c>
      <c r="F28" s="13">
        <f>IF(F5=0,"-",F8/F5)</f>
        <v/>
      </c>
      <c r="G28" s="13">
        <f>IF(G5=0,"-",G8/G5)</f>
        <v/>
      </c>
      <c r="H28" s="13">
        <f>IF(H5=0,"-",H8/H5)</f>
        <v/>
      </c>
      <c r="I28" s="13">
        <f>IF(I5=0,"-",I8/I5)</f>
        <v/>
      </c>
      <c r="J28" s="13">
        <f>IF(J5=0,"-",J8/J5)</f>
        <v/>
      </c>
      <c r="K28" s="13">
        <f>IF(K5=0,"-",K8/K5)</f>
        <v/>
      </c>
      <c r="L28" s="13">
        <f>IF(L5=0,"-",L8/L5)</f>
        <v/>
      </c>
      <c r="M28" s="13">
        <f>IF(M5=0,"-",M8/M5)</f>
        <v/>
      </c>
      <c r="N28" s="13">
        <f>IF(N5=0,"-",N8/N5)</f>
        <v/>
      </c>
    </row>
  </sheetData>
  <autoFilter ref="A4:N28"/>
  <mergeCells count="1">
    <mergeCell ref="A2:N2"/>
  </mergeCells>
  <pageMargins left="0.75" right="0.75" top="1" bottom="1" header="0.5" footer="0.5"/>
  <pageSetup orientation="landscape" paperSize="3" fitToHeight="1" fitToWidth="1"/>
  <headerFooter>
    <oddHeader>&amp;LRidgeline GL</oddHeader>
    <oddFooter>&amp;RPulled 16 Oct 2026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F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Calendar quarters</t>
        </is>
      </c>
    </row>
    <row r="2">
      <c r="A2" s="4" t="inlineStr">
        <is>
          <t>Every figure on this tab is a formula back to Monthly, except renewal rate, which is entered once a quarter.</t>
        </is>
      </c>
    </row>
    <row r="4">
      <c r="A4" s="18" t="inlineStr">
        <is>
          <t>Line</t>
        </is>
      </c>
      <c r="B4" s="6" t="inlineStr">
        <is>
          <t>Q4 2025</t>
        </is>
      </c>
      <c r="C4" s="6" t="inlineStr">
        <is>
          <t>Q1 2026</t>
        </is>
      </c>
      <c r="D4" s="6" t="inlineStr">
        <is>
          <t>Q2 2026</t>
        </is>
      </c>
      <c r="E4" s="6" t="inlineStr">
        <is>
          <t>Q3 2026</t>
        </is>
      </c>
      <c r="F4" s="6" t="inlineStr">
        <is>
          <t>Last twelve months</t>
        </is>
      </c>
    </row>
    <row r="5">
      <c r="A5" s="19">
        <f>Monthly!A5</f>
        <v/>
      </c>
      <c r="B5" s="9">
        <f>SUM(Monthly!B5:D5)</f>
        <v/>
      </c>
      <c r="C5" s="9">
        <f>SUM(Monthly!E5:G5)</f>
        <v/>
      </c>
      <c r="D5" s="9">
        <f>SUM(Monthly!H5:J5)</f>
        <v/>
      </c>
      <c r="E5" s="9">
        <f>SUM(Monthly!K5:M5)</f>
        <v/>
      </c>
      <c r="F5" s="9">
        <f>SUM(B5:E5)</f>
        <v/>
      </c>
    </row>
    <row r="6">
      <c r="A6" s="19">
        <f>Monthly!A6</f>
        <v/>
      </c>
      <c r="B6" s="9">
        <f>SUM(Monthly!B6:D6)</f>
        <v/>
      </c>
      <c r="C6" s="9">
        <f>SUM(Monthly!E6:G6)</f>
        <v/>
      </c>
      <c r="D6" s="9">
        <f>SUM(Monthly!H6:J6)</f>
        <v/>
      </c>
      <c r="E6" s="9">
        <f>SUM(Monthly!K6:M6)</f>
        <v/>
      </c>
      <c r="F6" s="9">
        <f>SUM(B6:E6)</f>
        <v/>
      </c>
    </row>
    <row r="7">
      <c r="A7" s="19">
        <f>Monthly!A7</f>
        <v/>
      </c>
      <c r="B7" s="9">
        <f>SUM(Monthly!B7:D7)</f>
        <v/>
      </c>
      <c r="C7" s="9">
        <f>SUM(Monthly!E7:G7)</f>
        <v/>
      </c>
      <c r="D7" s="9">
        <f>SUM(Monthly!H7:J7)</f>
        <v/>
      </c>
      <c r="E7" s="9">
        <f>SUM(Monthly!K7:M7)</f>
        <v/>
      </c>
      <c r="F7" s="9">
        <f>SUM(B7:E7)</f>
        <v/>
      </c>
    </row>
    <row r="8">
      <c r="A8" s="19">
        <f>Monthly!A8</f>
        <v/>
      </c>
      <c r="B8" s="9">
        <f>SUM(Monthly!B8:D8)</f>
        <v/>
      </c>
      <c r="C8" s="9">
        <f>SUM(Monthly!E8:G8)</f>
        <v/>
      </c>
      <c r="D8" s="9">
        <f>SUM(Monthly!H8:J8)</f>
        <v/>
      </c>
      <c r="E8" s="9">
        <f>SUM(Monthly!K8:M8)</f>
        <v/>
      </c>
      <c r="F8" s="9">
        <f>SUM(B8:E8)</f>
        <v/>
      </c>
    </row>
    <row r="9">
      <c r="A9" s="19">
        <f>Monthly!A9</f>
        <v/>
      </c>
      <c r="B9" s="9">
        <f>SUM(Monthly!B9:D9)</f>
        <v/>
      </c>
      <c r="C9" s="9">
        <f>SUM(Monthly!E9:G9)</f>
        <v/>
      </c>
      <c r="D9" s="9">
        <f>SUM(Monthly!H9:J9)</f>
        <v/>
      </c>
      <c r="E9" s="9">
        <f>SUM(Monthly!K9:M9)</f>
        <v/>
      </c>
      <c r="F9" s="9">
        <f>SUM(B9:E9)</f>
        <v/>
      </c>
    </row>
    <row r="10">
      <c r="A10" s="19">
        <f>Monthly!A10</f>
        <v/>
      </c>
      <c r="B10" s="9">
        <f>SUM(Monthly!B10:D10)</f>
        <v/>
      </c>
      <c r="C10" s="9">
        <f>SUM(Monthly!E10:G10)</f>
        <v/>
      </c>
      <c r="D10" s="9">
        <f>SUM(Monthly!H10:J10)</f>
        <v/>
      </c>
      <c r="E10" s="9">
        <f>SUM(Monthly!K10:M10)</f>
        <v/>
      </c>
      <c r="F10" s="9">
        <f>SUM(B10:E10)</f>
        <v/>
      </c>
    </row>
    <row r="11">
      <c r="A11" s="19">
        <f>Monthly!A11</f>
        <v/>
      </c>
      <c r="B11" s="9">
        <f>SUM(Monthly!B11:D11)</f>
        <v/>
      </c>
      <c r="C11" s="9">
        <f>SUM(Monthly!E11:G11)</f>
        <v/>
      </c>
      <c r="D11" s="9">
        <f>SUM(Monthly!H11:J11)</f>
        <v/>
      </c>
      <c r="E11" s="9">
        <f>SUM(Monthly!K11:M11)</f>
        <v/>
      </c>
      <c r="F11" s="9">
        <f>SUM(B11:E11)</f>
        <v/>
      </c>
    </row>
    <row r="12">
      <c r="A12" s="19">
        <f>Monthly!A12</f>
        <v/>
      </c>
      <c r="B12" s="9">
        <f>SUM(Monthly!B12:D12)</f>
        <v/>
      </c>
      <c r="C12" s="9">
        <f>SUM(Monthly!E12:G12)</f>
        <v/>
      </c>
      <c r="D12" s="9">
        <f>SUM(Monthly!H12:J12)</f>
        <v/>
      </c>
      <c r="E12" s="9">
        <f>SUM(Monthly!K12:M12)</f>
        <v/>
      </c>
      <c r="F12" s="9">
        <f>SUM(B12:E12)</f>
        <v/>
      </c>
    </row>
    <row r="13">
      <c r="A13" s="19">
        <f>Monthly!A13</f>
        <v/>
      </c>
      <c r="B13" s="9">
        <f>SUM(Monthly!B13:D13)</f>
        <v/>
      </c>
      <c r="C13" s="9">
        <f>SUM(Monthly!E13:G13)</f>
        <v/>
      </c>
      <c r="D13" s="9">
        <f>SUM(Monthly!H13:J13)</f>
        <v/>
      </c>
      <c r="E13" s="9">
        <f>SUM(Monthly!K13:M13)</f>
        <v/>
      </c>
      <c r="F13" s="9">
        <f>SUM(B13:E13)</f>
        <v/>
      </c>
    </row>
    <row r="14">
      <c r="A14" s="19">
        <f>Monthly!A14</f>
        <v/>
      </c>
      <c r="B14" s="9">
        <f>SUM(Monthly!B14:D14)</f>
        <v/>
      </c>
      <c r="C14" s="9">
        <f>SUM(Monthly!E14:G14)</f>
        <v/>
      </c>
      <c r="D14" s="9">
        <f>SUM(Monthly!H14:J14)</f>
        <v/>
      </c>
      <c r="E14" s="9">
        <f>SUM(Monthly!K14:M14)</f>
        <v/>
      </c>
      <c r="F14" s="9">
        <f>SUM(B14:E14)</f>
        <v/>
      </c>
    </row>
    <row r="15">
      <c r="A15" s="19">
        <f>Monthly!A15</f>
        <v/>
      </c>
      <c r="B15" s="9">
        <f>SUM(Monthly!B15:D15)</f>
        <v/>
      </c>
      <c r="C15" s="9">
        <f>SUM(Monthly!E15:G15)</f>
        <v/>
      </c>
      <c r="D15" s="9">
        <f>SUM(Monthly!H15:J15)</f>
        <v/>
      </c>
      <c r="E15" s="9">
        <f>SUM(Monthly!K15:M15)</f>
        <v/>
      </c>
      <c r="F15" s="9">
        <f>SUM(B15:E15)</f>
        <v/>
      </c>
    </row>
    <row r="16">
      <c r="A16" s="19">
        <f>Monthly!A16</f>
        <v/>
      </c>
      <c r="B16" s="9">
        <f>SUM(Monthly!B16:D16)</f>
        <v/>
      </c>
      <c r="C16" s="9">
        <f>SUM(Monthly!E16:G16)</f>
        <v/>
      </c>
      <c r="D16" s="9">
        <f>SUM(Monthly!H16:J16)</f>
        <v/>
      </c>
      <c r="E16" s="9">
        <f>SUM(Monthly!K16:M16)</f>
        <v/>
      </c>
      <c r="F16" s="9">
        <f>SUM(B16:E16)</f>
        <v/>
      </c>
    </row>
    <row r="17">
      <c r="A17" s="19">
        <f>Monthly!A17</f>
        <v/>
      </c>
      <c r="B17" s="9">
        <f>SUM(Monthly!B17:D17)</f>
        <v/>
      </c>
      <c r="C17" s="9">
        <f>SUM(Monthly!E17:G17)</f>
        <v/>
      </c>
      <c r="D17" s="9">
        <f>SUM(Monthly!H17:J17)</f>
        <v/>
      </c>
      <c r="E17" s="9">
        <f>SUM(Monthly!K17:M17)</f>
        <v/>
      </c>
      <c r="F17" s="9">
        <f>SUM(B17:E17)</f>
        <v/>
      </c>
    </row>
    <row r="18">
      <c r="A18" s="19">
        <f>Monthly!A18</f>
        <v/>
      </c>
      <c r="B18" s="13">
        <f>IF(B11=0,"-",B17/B11)</f>
        <v/>
      </c>
      <c r="C18" s="13">
        <f>IF(C11=0,"-",C17/C11)</f>
        <v/>
      </c>
      <c r="D18" s="13">
        <f>IF(D11=0,"-",D17/D11)</f>
        <v/>
      </c>
      <c r="E18" s="13">
        <f>IF(E11=0,"-",E17/E11)</f>
        <v/>
      </c>
      <c r="F18" s="13">
        <f>IF(F11=0,"-",F17/F11)</f>
        <v/>
      </c>
    </row>
    <row r="19">
      <c r="A19" s="19">
        <f>Monthly!A19</f>
        <v/>
      </c>
      <c r="B19" s="9">
        <f>SUM(Monthly!B19:D19)</f>
        <v/>
      </c>
      <c r="C19" s="9">
        <f>SUM(Monthly!E19:G19)</f>
        <v/>
      </c>
      <c r="D19" s="9">
        <f>SUM(Monthly!H19:J19)</f>
        <v/>
      </c>
      <c r="E19" s="9">
        <f>SUM(Monthly!K19:M19)</f>
        <v/>
      </c>
      <c r="F19" s="9">
        <f>SUM(B19:E19)</f>
        <v/>
      </c>
    </row>
    <row r="20">
      <c r="A20" s="19">
        <f>Monthly!A20</f>
        <v/>
      </c>
      <c r="B20" s="9">
        <f>SUM(Monthly!B20:D20)</f>
        <v/>
      </c>
      <c r="C20" s="9">
        <f>SUM(Monthly!E20:G20)</f>
        <v/>
      </c>
      <c r="D20" s="9">
        <f>SUM(Monthly!H20:J20)</f>
        <v/>
      </c>
      <c r="E20" s="9">
        <f>SUM(Monthly!K20:M20)</f>
        <v/>
      </c>
      <c r="F20" s="9">
        <f>SUM(B20:E20)</f>
        <v/>
      </c>
    </row>
    <row r="21">
      <c r="A21" s="19">
        <f>Monthly!A21</f>
        <v/>
      </c>
      <c r="B21" s="9">
        <f>SUM(Monthly!B21:D21)</f>
        <v/>
      </c>
      <c r="C21" s="9">
        <f>SUM(Monthly!E21:G21)</f>
        <v/>
      </c>
      <c r="D21" s="9">
        <f>SUM(Monthly!H21:J21)</f>
        <v/>
      </c>
      <c r="E21" s="9">
        <f>SUM(Monthly!K21:M21)</f>
        <v/>
      </c>
      <c r="F21" s="9">
        <f>SUM(B21:E21)</f>
        <v/>
      </c>
    </row>
    <row r="22">
      <c r="A22" s="19">
        <f>Monthly!A22</f>
        <v/>
      </c>
      <c r="B22" s="9">
        <f>SUM(Monthly!B22:D22)</f>
        <v/>
      </c>
      <c r="C22" s="9">
        <f>SUM(Monthly!E22:G22)</f>
        <v/>
      </c>
      <c r="D22" s="9">
        <f>SUM(Monthly!H22:J22)</f>
        <v/>
      </c>
      <c r="E22" s="9">
        <f>SUM(Monthly!K22:M22)</f>
        <v/>
      </c>
      <c r="F22" s="9">
        <f>SUM(B22:E22)</f>
        <v/>
      </c>
    </row>
    <row r="23">
      <c r="A23" s="19">
        <f>Monthly!A23</f>
        <v/>
      </c>
      <c r="B23" s="9">
        <f>SUM(Monthly!B23:D23)</f>
        <v/>
      </c>
      <c r="C23" s="9">
        <f>SUM(Monthly!E23:G23)</f>
        <v/>
      </c>
      <c r="D23" s="9">
        <f>SUM(Monthly!H23:J23)</f>
        <v/>
      </c>
      <c r="E23" s="9">
        <f>SUM(Monthly!K23:M23)</f>
        <v/>
      </c>
      <c r="F23" s="9">
        <f>SUM(B23:E23)</f>
        <v/>
      </c>
    </row>
    <row r="24">
      <c r="A24" s="19">
        <f>Monthly!A24</f>
        <v/>
      </c>
      <c r="B24" s="9">
        <f>Monthly!D24</f>
        <v/>
      </c>
      <c r="C24" s="9">
        <f>Monthly!G24</f>
        <v/>
      </c>
      <c r="D24" s="9">
        <f>Monthly!J24</f>
        <v/>
      </c>
      <c r="E24" s="9">
        <f>Monthly!M24</f>
        <v/>
      </c>
      <c r="F24" s="14">
        <f>E24</f>
        <v/>
      </c>
    </row>
    <row r="25">
      <c r="A25" s="19">
        <f>Monthly!A25</f>
        <v/>
      </c>
      <c r="B25" s="17">
        <f>Monthly!D25</f>
        <v/>
      </c>
      <c r="C25" s="17">
        <f>Monthly!G25</f>
        <v/>
      </c>
      <c r="D25" s="17">
        <f>Monthly!J25</f>
        <v/>
      </c>
      <c r="E25" s="17">
        <f>Monthly!M25</f>
        <v/>
      </c>
      <c r="F25" s="16">
        <f>E25</f>
        <v/>
      </c>
    </row>
    <row r="26">
      <c r="A26" s="19">
        <f>Monthly!A26</f>
        <v/>
      </c>
      <c r="B26" s="17">
        <f>Monthly!D26</f>
        <v/>
      </c>
      <c r="C26" s="17">
        <f>Monthly!G26</f>
        <v/>
      </c>
      <c r="D26" s="17">
        <f>Monthly!J26</f>
        <v/>
      </c>
      <c r="E26" s="17">
        <f>Monthly!M26</f>
        <v/>
      </c>
      <c r="F26" s="16">
        <f>E26</f>
        <v/>
      </c>
    </row>
    <row r="27">
      <c r="A27" s="19">
        <f>Monthly!A27</f>
        <v/>
      </c>
      <c r="B27" s="17">
        <f>SUM(Monthly!B27:D27)</f>
        <v/>
      </c>
      <c r="C27" s="17">
        <f>SUM(Monthly!E27:G27)</f>
        <v/>
      </c>
      <c r="D27" s="17">
        <f>SUM(Monthly!H27:J27)</f>
        <v/>
      </c>
      <c r="E27" s="17">
        <f>SUM(Monthly!K27:M27)</f>
        <v/>
      </c>
      <c r="F27" s="17">
        <f>SUM(B27:E27)</f>
        <v/>
      </c>
    </row>
    <row r="28">
      <c r="A28" s="19">
        <f>Monthly!A28</f>
        <v/>
      </c>
      <c r="B28" s="13">
        <f>IF(B5=0,"-",B8/B5)</f>
        <v/>
      </c>
      <c r="C28" s="13">
        <f>IF(C5=0,"-",C8/C5)</f>
        <v/>
      </c>
      <c r="D28" s="13">
        <f>IF(D5=0,"-",D8/D5)</f>
        <v/>
      </c>
      <c r="E28" s="13">
        <f>IF(E5=0,"-",E8/E5)</f>
        <v/>
      </c>
      <c r="F28" s="13">
        <f>IF(F5=0,"-",F8/F5)</f>
        <v/>
      </c>
    </row>
    <row r="30">
      <c r="A30" s="11" t="inlineStr">
        <is>
          <t>Snow Pass renewal rate</t>
        </is>
      </c>
      <c r="B30" s="20" t="n">
        <v>0.71</v>
      </c>
      <c r="C30" s="20" t="n">
        <v>0.6899999999999999</v>
      </c>
      <c r="D30" s="20" t="n">
        <v>0.76</v>
      </c>
      <c r="E30" s="20" t="n">
        <v>0.74</v>
      </c>
      <c r="F30" s="21">
        <f>E30</f>
        <v/>
      </c>
    </row>
  </sheetData>
  <pageMargins left="0.75" right="0.75" top="1" bottom="1" header="0.5" footer="0.5"/>
  <pageSetup orientation="landscape" paperSize="3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4B8A5"/>
    <outlinePr summaryBelow="1" summaryRight="1"/>
    <pageSetUpPr fitToPage="1"/>
  </sheetPr>
  <dimension ref="A1:N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New bookers by source</t>
        </is>
      </c>
    </row>
    <row r="2">
      <c r="A2" s="4" t="inlineStr">
        <is>
          <t>Warehouse attribution export, same pull. It does not cover every new booker. Unattributed is the plug.</t>
        </is>
      </c>
    </row>
    <row r="4">
      <c r="A4" s="5" t="inlineStr">
        <is>
          <t>Source</t>
        </is>
      </c>
      <c r="B4" s="5" t="inlineStr">
        <is>
          <t>Oct 2025</t>
        </is>
      </c>
      <c r="C4" s="5" t="inlineStr">
        <is>
          <t>Nov 2025</t>
        </is>
      </c>
      <c r="D4" s="5" t="inlineStr">
        <is>
          <t>Dec 2025</t>
        </is>
      </c>
      <c r="E4" s="5" t="inlineStr">
        <is>
          <t>Jan 2026</t>
        </is>
      </c>
      <c r="F4" s="5" t="inlineStr">
        <is>
          <t>Feb 2026</t>
        </is>
      </c>
      <c r="G4" s="5" t="inlineStr">
        <is>
          <t>Mar 2026</t>
        </is>
      </c>
      <c r="H4" s="5" t="inlineStr">
        <is>
          <t>Apr 2026</t>
        </is>
      </c>
      <c r="I4" s="5" t="inlineStr">
        <is>
          <t>May 2026</t>
        </is>
      </c>
      <c r="J4" s="5" t="inlineStr">
        <is>
          <t>Jun 2026</t>
        </is>
      </c>
      <c r="K4" s="5" t="inlineStr">
        <is>
          <t>Jul 2026</t>
        </is>
      </c>
      <c r="L4" s="5" t="inlineStr">
        <is>
          <t>Aug 2026</t>
        </is>
      </c>
      <c r="M4" s="5" t="inlineStr">
        <is>
          <t>Sep 2026</t>
        </is>
      </c>
      <c r="N4" s="5" t="inlineStr">
        <is>
          <t>Twelve months</t>
        </is>
      </c>
    </row>
    <row r="5">
      <c r="A5" s="7" t="inlineStr">
        <is>
          <t>Organic</t>
        </is>
      </c>
      <c r="B5" s="15" t="n">
        <v>1800</v>
      </c>
      <c r="C5" s="15" t="n">
        <v>2600</v>
      </c>
      <c r="D5" s="15" t="n">
        <v>2900</v>
      </c>
      <c r="E5" s="15" t="n">
        <v>3000</v>
      </c>
      <c r="F5" s="15" t="n">
        <v>2800</v>
      </c>
      <c r="G5" s="15" t="n">
        <v>2500</v>
      </c>
      <c r="H5" s="15" t="n">
        <v>1400</v>
      </c>
      <c r="I5" s="15" t="n">
        <v>1100</v>
      </c>
      <c r="J5" s="15" t="n">
        <v>900</v>
      </c>
      <c r="K5" s="15" t="n">
        <v>600</v>
      </c>
      <c r="L5" s="15" t="n">
        <v>700</v>
      </c>
      <c r="M5" s="15" t="n">
        <v>800</v>
      </c>
      <c r="N5" s="17">
        <f>SUM(B5:M5)</f>
        <v/>
      </c>
    </row>
    <row r="6">
      <c r="A6" s="7" t="inlineStr">
        <is>
          <t>Paid</t>
        </is>
      </c>
      <c r="B6" s="15" t="n">
        <v>1500</v>
      </c>
      <c r="C6" s="15" t="n">
        <v>2500</v>
      </c>
      <c r="D6" s="15" t="n">
        <v>2700</v>
      </c>
      <c r="E6" s="15" t="n">
        <v>2800</v>
      </c>
      <c r="F6" s="15" t="n">
        <v>2600</v>
      </c>
      <c r="G6" s="15" t="n">
        <v>2300</v>
      </c>
      <c r="H6" s="15" t="n">
        <v>900</v>
      </c>
      <c r="I6" s="15" t="n">
        <v>700</v>
      </c>
      <c r="J6" s="15" t="n">
        <v>600</v>
      </c>
      <c r="K6" s="15" t="n">
        <v>400</v>
      </c>
      <c r="L6" s="15" t="n">
        <v>450</v>
      </c>
      <c r="M6" s="15" t="n">
        <v>500</v>
      </c>
      <c r="N6" s="17">
        <f>SUM(B6:M6)</f>
        <v/>
      </c>
    </row>
    <row r="7">
      <c r="A7" s="7" t="inlineStr">
        <is>
          <t>Partner</t>
        </is>
      </c>
      <c r="B7" s="15" t="n">
        <v>400</v>
      </c>
      <c r="C7" s="15" t="n">
        <v>700</v>
      </c>
      <c r="D7" s="15" t="n">
        <v>800</v>
      </c>
      <c r="E7" s="15" t="n">
        <v>800</v>
      </c>
      <c r="F7" s="15" t="n">
        <v>750</v>
      </c>
      <c r="G7" s="15" t="n">
        <v>700</v>
      </c>
      <c r="H7" s="15" t="n">
        <v>300</v>
      </c>
      <c r="I7" s="15" t="n">
        <v>200</v>
      </c>
      <c r="J7" s="15" t="n">
        <v>200</v>
      </c>
      <c r="K7" s="15" t="n">
        <v>150</v>
      </c>
      <c r="L7" s="15" t="n">
        <v>150</v>
      </c>
      <c r="M7" s="15" t="n">
        <v>200</v>
      </c>
      <c r="N7" s="17">
        <f>SUM(B7:M7)</f>
        <v/>
      </c>
    </row>
    <row r="8">
      <c r="A8" s="11" t="inlineStr">
        <is>
          <t>Attributed</t>
        </is>
      </c>
      <c r="B8" s="17">
        <f>B5+B6+B7</f>
        <v/>
      </c>
      <c r="C8" s="17">
        <f>C5+C6+C7</f>
        <v/>
      </c>
      <c r="D8" s="17">
        <f>D5+D6+D7</f>
        <v/>
      </c>
      <c r="E8" s="17">
        <f>E5+E6+E7</f>
        <v/>
      </c>
      <c r="F8" s="17">
        <f>F5+F6+F7</f>
        <v/>
      </c>
      <c r="G8" s="17">
        <f>G5+G6+G7</f>
        <v/>
      </c>
      <c r="H8" s="17">
        <f>H5+H6+H7</f>
        <v/>
      </c>
      <c r="I8" s="17">
        <f>I5+I6+I7</f>
        <v/>
      </c>
      <c r="J8" s="17">
        <f>J5+J6+J7</f>
        <v/>
      </c>
      <c r="K8" s="17">
        <f>K5+K6+K7</f>
        <v/>
      </c>
      <c r="L8" s="17">
        <f>L5+L6+L7</f>
        <v/>
      </c>
      <c r="M8" s="17">
        <f>M5+M6+M7</f>
        <v/>
      </c>
      <c r="N8" s="17">
        <f>SUM(B8:M8)</f>
        <v/>
      </c>
    </row>
    <row r="9">
      <c r="A9" s="11" t="inlineStr">
        <is>
          <t>New bookers on the GL</t>
        </is>
      </c>
      <c r="B9" s="16">
        <f>Monthly!B27</f>
        <v/>
      </c>
      <c r="C9" s="16">
        <f>Monthly!C27</f>
        <v/>
      </c>
      <c r="D9" s="16">
        <f>Monthly!D27</f>
        <v/>
      </c>
      <c r="E9" s="16">
        <f>Monthly!E27</f>
        <v/>
      </c>
      <c r="F9" s="16">
        <f>Monthly!F27</f>
        <v/>
      </c>
      <c r="G9" s="16">
        <f>Monthly!G27</f>
        <v/>
      </c>
      <c r="H9" s="16">
        <f>Monthly!H27</f>
        <v/>
      </c>
      <c r="I9" s="16">
        <f>Monthly!I27</f>
        <v/>
      </c>
      <c r="J9" s="16">
        <f>Monthly!J27</f>
        <v/>
      </c>
      <c r="K9" s="16">
        <f>Monthly!K27</f>
        <v/>
      </c>
      <c r="L9" s="16">
        <f>Monthly!L27</f>
        <v/>
      </c>
      <c r="M9" s="16">
        <f>Monthly!M27</f>
        <v/>
      </c>
      <c r="N9" s="17">
        <f>SUM(B9:M9)</f>
        <v/>
      </c>
    </row>
    <row r="10">
      <c r="A10" s="11" t="inlineStr">
        <is>
          <t>Unattributed</t>
        </is>
      </c>
      <c r="B10" s="17">
        <f>B9-B8</f>
        <v/>
      </c>
      <c r="C10" s="17">
        <f>C9-C8</f>
        <v/>
      </c>
      <c r="D10" s="17">
        <f>D9-D8</f>
        <v/>
      </c>
      <c r="E10" s="17">
        <f>E9-E8</f>
        <v/>
      </c>
      <c r="F10" s="17">
        <f>F9-F8</f>
        <v/>
      </c>
      <c r="G10" s="17">
        <f>G9-G8</f>
        <v/>
      </c>
      <c r="H10" s="17">
        <f>H9-H8</f>
        <v/>
      </c>
      <c r="I10" s="17">
        <f>I9-I8</f>
        <v/>
      </c>
      <c r="J10" s="17">
        <f>J9-J8</f>
        <v/>
      </c>
      <c r="K10" s="17">
        <f>K9-K8</f>
        <v/>
      </c>
      <c r="L10" s="17">
        <f>L9-L8</f>
        <v/>
      </c>
      <c r="M10" s="17">
        <f>M9-M8</f>
        <v/>
      </c>
      <c r="N10" s="17">
        <f>SUM(B10:M10)</f>
        <v/>
      </c>
    </row>
  </sheetData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2026-10-19T07:52:02Z</dcterms:created>
  <dcterms:modified xmlns:dcterms="http://purl.org/dc/terms/" xmlns:xsi="http://www.w3.org/2001/XMLSchema-instance" xsi:type="dcterms:W3CDTF">2026-10-19T07:52:02Z</dcterms:modified>
</cp:coreProperties>
</file>